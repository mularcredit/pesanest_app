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/>
  <mc:AlternateContent xmlns:mc="http://schemas.openxmlformats.org/markup-compatibility/2006">
    <mc:Choice Requires="x15">
      <x15ac:absPath xmlns:x15ac="http://schemas.microsoft.com/office/spreadsheetml/2010/11/ac" url="/Users/mac/Desktop/"/>
    </mc:Choice>
  </mc:AlternateContent>
  <xr:revisionPtr revIDLastSave="0" documentId="8_{EBB74F35-2EED-8743-9D60-7C884479127A}" xr6:coauthVersionLast="45" xr6:coauthVersionMax="45" xr10:uidLastSave="{00000000-0000-0000-0000-000000000000}"/>
  <bookViews>
    <workbookView xWindow="0" yWindow="760" windowWidth="29400" windowHeight="17440" xr2:uid="{00000000-000D-0000-FFFF-FFFF00000000}"/>
  </bookViews>
  <sheets>
    <sheet name="Saudi Airline" sheetId="3" r:id="rId1"/>
    <sheet name="List" sheetId="6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  <ext uri="GoogleSheetsCustomDataVersion2">
      <go:sheetsCustomData xmlns:go="http://customooxmlschemas.google.com/" r:id="rId10" roundtripDataChecksum="xTgv6t+Q+hd5IWb8vZPNYcjyC0L3zLW5wVvpdYEz8X0="/>
    </ext>
  </extLst>
</workbook>
</file>

<file path=xl/calcChain.xml><?xml version="1.0" encoding="utf-8"?>
<calcChain xmlns="http://schemas.openxmlformats.org/spreadsheetml/2006/main">
  <c r="G19" i="3" l="1"/>
  <c r="F19" i="3"/>
  <c r="H18" i="3"/>
  <c r="H17" i="3"/>
  <c r="H16" i="3"/>
  <c r="H15" i="3"/>
  <c r="H14" i="3"/>
  <c r="H19" i="3" s="1"/>
</calcChain>
</file>

<file path=xl/sharedStrings.xml><?xml version="1.0" encoding="utf-8"?>
<sst xmlns="http://schemas.openxmlformats.org/spreadsheetml/2006/main" count="43" uniqueCount="24">
  <si>
    <t>INV. PERIOD</t>
  </si>
  <si>
    <t xml:space="preserve">AIRLINES STATEMENT OF ACCOUNT </t>
  </si>
  <si>
    <t>S/NO</t>
  </si>
  <si>
    <t>AIRLINE</t>
  </si>
  <si>
    <t>CHARGE TYPE</t>
  </si>
  <si>
    <t>INV.REF</t>
  </si>
  <si>
    <t>AMOUNT (USD)</t>
  </si>
  <si>
    <t>PAID (USD)</t>
  </si>
  <si>
    <t>BALANCE (USD)</t>
  </si>
  <si>
    <t>FLY DEAL</t>
  </si>
  <si>
    <t>Overflight</t>
  </si>
  <si>
    <t>ANS-EVT7Q</t>
  </si>
  <si>
    <t>1ST MAY-31ST DEC 2025</t>
  </si>
  <si>
    <t>Saudi Arabian Airlines</t>
  </si>
  <si>
    <t>ANS-DJTBY</t>
  </si>
  <si>
    <t>ANS-66TRK</t>
  </si>
  <si>
    <t>1ST JAN-10TH JAN 2026</t>
  </si>
  <si>
    <t>ANS-WGTVG</t>
  </si>
  <si>
    <t>ANS-YRTJJ</t>
  </si>
  <si>
    <t>11TH JAN-20TH JAN 2026</t>
  </si>
  <si>
    <t>ANS-RKTWV</t>
  </si>
  <si>
    <t>TOTALS</t>
  </si>
  <si>
    <t>Landing</t>
  </si>
  <si>
    <t>Domestic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</si>
</sst>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_(* #,##0_);_(* \(#,##0\);_(* &quot;-&quot;??_);_(@_)"/>
  </numFmts>
  <fonts count="10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</font>
    <font>
      <sz val="11"/>
      <name val="Calibri"/>
    </font>
    <font>
      <b/>
      <sz val="14"/>
      <color theme="1"/>
      <name val="Calibri"/>
    </font>
    <font>
      <b/>
      <sz val="11"/>
      <color theme="1"/>
      <name val="Calibri"/>
    </font>
    <font>
      <sz val="11"/>
      <color theme="1"/>
      <name val="Arial"/>
    </font>
    <font>
      <sz val="10"/>
      <color theme="1"/>
      <name val="Arial"/>
    </font>
    <font>
      <sz val="10"/>
      <color rgb="FF12263F"/>
      <name val="Arial"/>
    </font>
    <font>
      <sz val="11"/>
      <color theme="1"/>
      <name val="&quot;Calibri&quot;"/>
    </font>
  </fonts>
  <fills count="7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B4C6E7"/>
        <bgColor rgb="FFB4C6E7"/>
      </patternFill>
    </fill>
    <fill>
      <patternFill patternType="solid">
        <fgColor rgb="FFD8D8D8"/>
        <bgColor rgb="FFD8D8D8"/>
      </patternFill>
    </fill>
  </fills>
  <borders count="1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 style="thin">
        <color theme="1"/>
      </right>
      <top style="medium">
        <color theme="1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 style="medium">
        <color theme="1"/>
      </top>
      <bottom style="medium">
        <color theme="1"/>
      </bottom>
      <diagonal/>
    </border>
    <border>
      <left style="thin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medium">
        <color theme="1"/>
      </right>
      <top/>
      <bottom/>
      <diagonal/>
    </border>
    <border>
      <left/>
      <right style="thin">
        <color theme="1"/>
      </right>
      <top style="thin">
        <color rgb="FF000000"/>
      </top>
      <bottom style="thin">
        <color rgb="FF000000"/>
      </bottom>
      <diagonal/>
    </border>
    <border>
      <left style="thin">
        <color theme="1"/>
      </left>
      <right style="thin">
        <color theme="1"/>
      </right>
      <top style="thin">
        <color rgb="FF000000"/>
      </top>
      <bottom style="thin">
        <color rgb="FF000000"/>
      </bottom>
      <diagonal/>
    </border>
    <border>
      <left style="thin">
        <color theme="1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 applyFont="1" applyAlignment="1"/>
    <xf numFmtId="0" fontId="5" fillId="6" borderId="7" xfId="0" applyFont="1" applyFill="1" applyBorder="1"/>
    <xf numFmtId="0" fontId="5" fillId="6" borderId="8" xfId="0" applyFont="1" applyFill="1" applyBorder="1"/>
    <xf numFmtId="0" fontId="5" fillId="6" borderId="8" xfId="0" applyFont="1" applyFill="1" applyBorder="1" applyAlignment="1"/>
    <xf numFmtId="0" fontId="5" fillId="6" borderId="9" xfId="0" applyFont="1" applyFill="1" applyBorder="1" applyAlignment="1"/>
    <xf numFmtId="0" fontId="6" fillId="2" borderId="10" xfId="0" applyFont="1" applyFill="1" applyBorder="1"/>
    <xf numFmtId="0" fontId="7" fillId="2" borderId="11" xfId="0" applyFont="1" applyFill="1" applyBorder="1" applyAlignment="1"/>
    <xf numFmtId="0" fontId="7" fillId="2" borderId="11" xfId="0" applyFont="1" applyFill="1" applyBorder="1"/>
    <xf numFmtId="0" fontId="8" fillId="2" borderId="0" xfId="0" applyFont="1" applyFill="1" applyAlignment="1">
      <alignment horizontal="left"/>
    </xf>
    <xf numFmtId="167" fontId="8" fillId="2" borderId="0" xfId="0" applyNumberFormat="1" applyFont="1" applyFill="1" applyAlignment="1">
      <alignment horizontal="left"/>
    </xf>
    <xf numFmtId="167" fontId="7" fillId="2" borderId="11" xfId="0" applyNumberFormat="1" applyFont="1" applyFill="1" applyBorder="1" applyAlignment="1"/>
    <xf numFmtId="167" fontId="7" fillId="2" borderId="0" xfId="0" applyNumberFormat="1" applyFont="1" applyFill="1" applyAlignment="1"/>
    <xf numFmtId="0" fontId="6" fillId="0" borderId="10" xfId="0" applyFont="1" applyBorder="1"/>
    <xf numFmtId="0" fontId="8" fillId="4" borderId="0" xfId="0" applyFont="1" applyFill="1" applyAlignment="1">
      <alignment horizontal="left"/>
    </xf>
    <xf numFmtId="0" fontId="7" fillId="0" borderId="11" xfId="0" applyFont="1" applyBorder="1" applyAlignment="1"/>
    <xf numFmtId="167" fontId="7" fillId="0" borderId="0" xfId="0" applyNumberFormat="1" applyFont="1" applyAlignment="1"/>
    <xf numFmtId="167" fontId="9" fillId="0" borderId="0" xfId="0" applyNumberFormat="1" applyFont="1" applyAlignment="1"/>
    <xf numFmtId="167" fontId="7" fillId="0" borderId="11" xfId="0" applyNumberFormat="1" applyFont="1" applyBorder="1" applyAlignment="1"/>
    <xf numFmtId="167" fontId="7" fillId="0" borderId="11" xfId="0" applyNumberFormat="1" applyFont="1" applyBorder="1"/>
    <xf numFmtId="167" fontId="7" fillId="0" borderId="12" xfId="0" applyNumberFormat="1" applyFont="1" applyBorder="1"/>
    <xf numFmtId="167" fontId="5" fillId="3" borderId="14" xfId="0" applyNumberFormat="1" applyFont="1" applyFill="1" applyBorder="1"/>
    <xf numFmtId="167" fontId="5" fillId="3" borderId="15" xfId="0" applyNumberFormat="1" applyFont="1" applyFill="1" applyBorder="1"/>
    <xf numFmtId="0" fontId="1" fillId="0" borderId="0" xfId="0" applyFont="1"/>
    <xf numFmtId="0" fontId="2" fillId="0" borderId="0" xfId="0" applyFont="1" applyAlignment="1">
      <alignment horizontal="center"/>
    </xf>
    <xf numFmtId="0" fontId="0" fillId="0" borderId="0" xfId="0" applyFont="1" applyAlignment="1"/>
    <xf numFmtId="0" fontId="3" fillId="0" borderId="3" xfId="0" applyFont="1" applyBorder="1"/>
    <xf numFmtId="0" fontId="4" fillId="5" borderId="4" xfId="0" applyFont="1" applyFill="1" applyBorder="1" applyAlignment="1">
      <alignment horizontal="center"/>
    </xf>
    <xf numFmtId="0" fontId="3" fillId="0" borderId="5" xfId="0" applyFont="1" applyBorder="1"/>
    <xf numFmtId="0" fontId="3" fillId="0" borderId="6" xfId="0" applyFont="1" applyBorder="1"/>
    <xf numFmtId="0" fontId="5" fillId="3" borderId="1" xfId="0" applyFont="1" applyFill="1" applyBorder="1" applyAlignment="1">
      <alignment horizontal="center"/>
    </xf>
    <xf numFmtId="0" fontId="3" fillId="0" borderId="2" xfId="0" applyFont="1" applyBorder="1"/>
    <xf numFmtId="0" fontId="3" fillId="0" borderId="1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theme" Target="theme/theme1.xml"/><Relationship Id="rId10" Type="http://customschemas.google.com/relationships/workbookmetadata" Target="metadata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285750</xdr:colOff>
      <xdr:row>0</xdr:row>
      <xdr:rowOff>0</xdr:rowOff>
    </xdr:from>
    <xdr:ext cx="3171825" cy="15716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H991"/>
  <sheetViews>
    <sheetView tabSelected="1" workbookViewId="0">
      <pane ySplit="10" topLeftCell="A11" activePane="bottomLeft" state="frozen"/>
      <selection pane="bottomLeft" activeCell="B12" sqref="B12"/>
    </sheetView>
  </sheetViews>
  <sheetFormatPr baseColWidth="10" defaultColWidth="14.5" defaultRowHeight="15" customHeight="1"/>
  <cols>
    <col min="1" max="1" width="4.33203125" customWidth="1"/>
    <col min="2" max="2" width="21.83203125" customWidth="1"/>
    <col min="3" max="4" width="13.6640625" customWidth="1"/>
    <col min="5" max="5" width="24.33203125" customWidth="1"/>
    <col min="6" max="7" width="13.6640625" customWidth="1"/>
    <col min="8" max="8" width="16.5" customWidth="1"/>
    <col min="9" max="26" width="8.83203125" customWidth="1"/>
  </cols>
  <sheetData>
    <row r="1" spans="1:8">
      <c r="A1" s="23"/>
      <c r="B1" s="24"/>
      <c r="C1" s="24"/>
      <c r="D1" s="24"/>
      <c r="E1" s="24"/>
      <c r="F1" s="24"/>
      <c r="G1" s="24"/>
      <c r="H1" s="24"/>
    </row>
    <row r="2" spans="1:8" ht="15" customHeight="1">
      <c r="A2" s="24"/>
      <c r="B2" s="24"/>
      <c r="C2" s="24"/>
      <c r="D2" s="24"/>
      <c r="E2" s="24"/>
      <c r="F2" s="24"/>
      <c r="G2" s="24"/>
      <c r="H2" s="24"/>
    </row>
    <row r="3" spans="1:8" ht="15" customHeight="1">
      <c r="A3" s="24"/>
      <c r="B3" s="24"/>
      <c r="C3" s="24"/>
      <c r="D3" s="24"/>
      <c r="E3" s="24"/>
      <c r="F3" s="24"/>
      <c r="G3" s="24"/>
      <c r="H3" s="24"/>
    </row>
    <row r="4" spans="1:8" ht="15" customHeight="1">
      <c r="A4" s="24"/>
      <c r="B4" s="24"/>
      <c r="C4" s="24"/>
      <c r="D4" s="24"/>
      <c r="E4" s="24"/>
      <c r="F4" s="24"/>
      <c r="G4" s="24"/>
      <c r="H4" s="24"/>
    </row>
    <row r="5" spans="1:8" ht="15" customHeight="1">
      <c r="A5" s="24"/>
      <c r="B5" s="24"/>
      <c r="C5" s="24"/>
      <c r="D5" s="24"/>
      <c r="E5" s="24"/>
      <c r="F5" s="24"/>
      <c r="G5" s="24"/>
      <c r="H5" s="24"/>
    </row>
    <row r="6" spans="1:8" ht="15" customHeight="1">
      <c r="A6" s="24"/>
      <c r="B6" s="24"/>
      <c r="C6" s="24"/>
      <c r="D6" s="24"/>
      <c r="E6" s="24"/>
      <c r="F6" s="24"/>
      <c r="G6" s="24"/>
      <c r="H6" s="24"/>
    </row>
    <row r="7" spans="1:8" ht="15" customHeight="1">
      <c r="A7" s="24"/>
      <c r="B7" s="24"/>
      <c r="C7" s="24"/>
      <c r="D7" s="24"/>
      <c r="E7" s="24"/>
      <c r="F7" s="24"/>
      <c r="G7" s="24"/>
      <c r="H7" s="24"/>
    </row>
    <row r="8" spans="1:8" ht="24" customHeight="1">
      <c r="A8" s="25"/>
      <c r="B8" s="25"/>
      <c r="C8" s="25"/>
      <c r="D8" s="25"/>
      <c r="E8" s="25"/>
      <c r="F8" s="25"/>
      <c r="G8" s="25"/>
      <c r="H8" s="25"/>
    </row>
    <row r="9" spans="1:8" ht="19">
      <c r="A9" s="26" t="s">
        <v>1</v>
      </c>
      <c r="B9" s="27"/>
      <c r="C9" s="27"/>
      <c r="D9" s="27"/>
      <c r="E9" s="27"/>
      <c r="F9" s="27"/>
      <c r="G9" s="27"/>
      <c r="H9" s="28"/>
    </row>
    <row r="10" spans="1:8">
      <c r="A10" s="1" t="s">
        <v>2</v>
      </c>
      <c r="B10" s="2" t="s">
        <v>3</v>
      </c>
      <c r="C10" s="2" t="s">
        <v>4</v>
      </c>
      <c r="D10" s="2" t="s">
        <v>5</v>
      </c>
      <c r="E10" s="2" t="s">
        <v>0</v>
      </c>
      <c r="F10" s="3" t="s">
        <v>6</v>
      </c>
      <c r="G10" s="3" t="s">
        <v>7</v>
      </c>
      <c r="H10" s="4" t="s">
        <v>8</v>
      </c>
    </row>
    <row r="11" spans="1:8">
      <c r="A11" s="5">
        <v>1</v>
      </c>
      <c r="B11" s="6" t="s">
        <v>9</v>
      </c>
      <c r="C11" s="7" t="s">
        <v>10</v>
      </c>
      <c r="D11" s="8" t="s">
        <v>11</v>
      </c>
      <c r="E11" s="6" t="s">
        <v>12</v>
      </c>
      <c r="F11" s="9">
        <v>389312</v>
      </c>
      <c r="G11" s="10">
        <v>2528</v>
      </c>
      <c r="H11" s="9">
        <v>386784</v>
      </c>
    </row>
    <row r="12" spans="1:8">
      <c r="A12" s="5"/>
      <c r="B12" s="6" t="s">
        <v>9</v>
      </c>
      <c r="C12" s="7" t="s">
        <v>10</v>
      </c>
      <c r="D12" s="8" t="s">
        <v>11</v>
      </c>
      <c r="E12" s="6" t="s">
        <v>12</v>
      </c>
      <c r="F12" s="11"/>
      <c r="G12" s="10">
        <v>50550</v>
      </c>
      <c r="H12" s="11">
        <v>336234</v>
      </c>
    </row>
    <row r="13" spans="1:8">
      <c r="A13" s="12"/>
      <c r="B13" s="13"/>
      <c r="C13" s="14"/>
      <c r="D13" s="8" t="s">
        <v>11</v>
      </c>
      <c r="E13" s="6" t="s">
        <v>12</v>
      </c>
      <c r="F13" s="15"/>
      <c r="G13" s="16">
        <v>101110</v>
      </c>
      <c r="H13" s="15">
        <v>235124</v>
      </c>
    </row>
    <row r="14" spans="1:8">
      <c r="A14" s="12">
        <v>2</v>
      </c>
      <c r="B14" s="13" t="s">
        <v>13</v>
      </c>
      <c r="C14" s="14" t="s">
        <v>10</v>
      </c>
      <c r="D14" s="14" t="s">
        <v>14</v>
      </c>
      <c r="E14" s="14" t="s">
        <v>12</v>
      </c>
      <c r="F14" s="17">
        <v>429760</v>
      </c>
      <c r="G14" s="18">
        <v>0</v>
      </c>
      <c r="H14" s="19">
        <f t="shared" ref="H14:H18" si="0">F14-G14</f>
        <v>429760</v>
      </c>
    </row>
    <row r="15" spans="1:8">
      <c r="A15" s="12">
        <v>3</v>
      </c>
      <c r="B15" s="13" t="s">
        <v>13</v>
      </c>
      <c r="C15" s="14" t="s">
        <v>10</v>
      </c>
      <c r="D15" s="14" t="s">
        <v>15</v>
      </c>
      <c r="E15" s="14" t="s">
        <v>16</v>
      </c>
      <c r="F15" s="17">
        <v>25280</v>
      </c>
      <c r="G15" s="18">
        <v>0</v>
      </c>
      <c r="H15" s="19">
        <f t="shared" si="0"/>
        <v>25280</v>
      </c>
    </row>
    <row r="16" spans="1:8">
      <c r="A16" s="12">
        <v>4</v>
      </c>
      <c r="B16" s="14" t="s">
        <v>9</v>
      </c>
      <c r="C16" s="14" t="s">
        <v>10</v>
      </c>
      <c r="D16" s="14" t="s">
        <v>17</v>
      </c>
      <c r="E16" s="14" t="s">
        <v>16</v>
      </c>
      <c r="F16" s="17">
        <v>5056</v>
      </c>
      <c r="G16" s="18"/>
      <c r="H16" s="19">
        <f t="shared" si="0"/>
        <v>5056</v>
      </c>
    </row>
    <row r="17" spans="1:8">
      <c r="A17" s="12">
        <v>5</v>
      </c>
      <c r="B17" s="14" t="s">
        <v>9</v>
      </c>
      <c r="C17" s="14" t="s">
        <v>10</v>
      </c>
      <c r="D17" s="14" t="s">
        <v>18</v>
      </c>
      <c r="E17" s="14" t="s">
        <v>19</v>
      </c>
      <c r="F17" s="17">
        <v>5056</v>
      </c>
      <c r="G17" s="18"/>
      <c r="H17" s="19">
        <f t="shared" si="0"/>
        <v>5056</v>
      </c>
    </row>
    <row r="18" spans="1:8">
      <c r="A18" s="12">
        <v>6</v>
      </c>
      <c r="B18" s="14" t="s">
        <v>13</v>
      </c>
      <c r="C18" s="14" t="s">
        <v>10</v>
      </c>
      <c r="D18" s="14" t="s">
        <v>20</v>
      </c>
      <c r="E18" s="14" t="s">
        <v>19</v>
      </c>
      <c r="F18" s="17">
        <v>30336</v>
      </c>
      <c r="G18" s="18"/>
      <c r="H18" s="19">
        <f t="shared" si="0"/>
        <v>30336</v>
      </c>
    </row>
    <row r="19" spans="1:8" ht="15.75" customHeight="1">
      <c r="A19" s="29" t="s">
        <v>21</v>
      </c>
      <c r="B19" s="30"/>
      <c r="C19" s="30"/>
      <c r="D19" s="30"/>
      <c r="E19" s="31"/>
      <c r="F19" s="20">
        <f t="shared" ref="F19:G19" si="1">SUM(F11:F18)</f>
        <v>884800</v>
      </c>
      <c r="G19" s="20">
        <f t="shared" si="1"/>
        <v>154188</v>
      </c>
      <c r="H19" s="21">
        <f>SUM(H13:H18)</f>
        <v>730612</v>
      </c>
    </row>
    <row r="20" spans="1:8" ht="15.75" customHeight="1"/>
    <row r="21" spans="1:8" ht="15.75" customHeight="1"/>
    <row r="22" spans="1:8" ht="15.75" customHeight="1"/>
    <row r="23" spans="1:8" ht="15.75" customHeight="1"/>
    <row r="24" spans="1:8" ht="15.75" customHeight="1"/>
    <row r="25" spans="1:8" ht="15.75" customHeight="1"/>
    <row r="26" spans="1:8" ht="15.75" customHeight="1"/>
    <row r="27" spans="1:8" ht="15.75" customHeight="1"/>
    <row r="28" spans="1:8" ht="15.75" customHeight="1"/>
    <row r="29" spans="1:8" ht="15.75" customHeight="1"/>
    <row r="30" spans="1:8" ht="15.75" customHeight="1"/>
    <row r="31" spans="1:8" ht="15.75" customHeight="1"/>
    <row r="32" spans="1:8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</sheetData>
  <mergeCells count="3">
    <mergeCell ref="A1:H8"/>
    <mergeCell ref="A9:H9"/>
    <mergeCell ref="A19:E19"/>
  </mergeCells>
  <pageMargins left="0.25" right="0.25" top="0.75" bottom="0.75" header="0" footer="0"/>
  <pageSetup orientation="portrait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200-000000000000}">
          <x14:formula1>
            <xm:f>List!$A$1:$A$3</xm:f>
          </x14:formula1>
          <xm:sqref>C11:C18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1000"/>
  <sheetViews>
    <sheetView workbookViewId="0"/>
  </sheetViews>
  <sheetFormatPr baseColWidth="10" defaultColWidth="14.5" defaultRowHeight="15" customHeight="1"/>
  <cols>
    <col min="1" max="26" width="8.83203125" customWidth="1"/>
  </cols>
  <sheetData>
    <row r="1" spans="1:1">
      <c r="A1" s="22" t="s">
        <v>10</v>
      </c>
    </row>
    <row r="2" spans="1:1">
      <c r="A2" s="22" t="s">
        <v>22</v>
      </c>
    </row>
    <row r="3" spans="1:1">
      <c r="A3" s="22" t="s">
        <v>23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Saudi Airline</vt:lpstr>
      <vt:lpstr>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</dc:creator>
  <cp:lastModifiedBy>Microsoft Office User</cp:lastModifiedBy>
  <dcterms:created xsi:type="dcterms:W3CDTF">2026-01-26T19:36:50Z</dcterms:created>
  <dcterms:modified xsi:type="dcterms:W3CDTF">2026-02-03T07:44:55Z</dcterms:modified>
</cp:coreProperties>
</file>